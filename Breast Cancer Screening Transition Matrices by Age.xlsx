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0-54" sheetId="1" state="visible" r:id="rId3"/>
    <sheet name="55-59" sheetId="2" state="visible" r:id="rId4"/>
    <sheet name="60-64" sheetId="3" state="visible" r:id="rId5"/>
    <sheet name="65-69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<sst xmlns="http://schemas.openxmlformats.org/spreadsheetml/2006/main" count="32" uniqueCount="14">
  <si>
    <t xml:space="preserve">6-month Transition Matrix for a 50-54-Year-Old Woman Who Does Not Have A Mammogram</t>
  </si>
  <si>
    <t xml:space="preserve">6-month Transition Matrix for a 50-54-Year-Old Woman who has a Mammogram</t>
  </si>
  <si>
    <t xml:space="preserve">a0</t>
  </si>
  <si>
    <t xml:space="preserve">r1</t>
  </si>
  <si>
    <t xml:space="preserve">a1</t>
  </si>
  <si>
    <t xml:space="preserve">r2</t>
  </si>
  <si>
    <t xml:space="preserve">a2</t>
  </si>
  <si>
    <t xml:space="preserve">Source: Maillart et al. (2008), Table 2. Last column = 1 minus rest of row.</t>
  </si>
  <si>
    <t xml:space="preserve">6-month Transition Matrix for a 55-59-Year-Old Woman Who Does Not Have A Mammogram</t>
  </si>
  <si>
    <t xml:space="preserve">6-month Transition Matrix for a 55-59-Year-Old Woman who has a Mammogram</t>
  </si>
  <si>
    <t xml:space="preserve">6-month Transition Matrix for a 60-64-Year-Old Woman Who Does Not Have A Mammogram</t>
  </si>
  <si>
    <t xml:space="preserve">6-month Transition Matrix for a 60-64-Year-Old Woman who has a Mammogram</t>
  </si>
  <si>
    <t xml:space="preserve">6-month Transition Matrix for a 65-69-Year-Old Woman Who Does Not Have A Mammogram</t>
  </si>
  <si>
    <t xml:space="preserve">6-month Transition Matrix for a 65-69-Year-Old Woman who has a Mammogram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</si>
</sst>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40625" defaultRowHeight="15.75" zeroHeight="false" outlineLevelRow="0" outlineLevelCol="0"/>
  <sheetData>
    <row r="1" customFormat="false" ht="46.5" hidden="false" customHeight="true" outlineLevel="0" collapsed="false">
      <c r="C1" s="1" t="s">
        <v>0</v>
      </c>
      <c r="D1" s="1"/>
      <c r="E1" s="1"/>
      <c r="F1" s="1"/>
      <c r="G1" s="1"/>
    </row>
    <row r="2" customFormat="false" ht="15.75" hidden="false" customHeight="false" outlineLevel="0" collapsed="false">
      <c r="B2" s="2"/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</row>
    <row r="3" customFormat="false" ht="15.75" hidden="false" customHeight="false" outlineLevel="0" collapsed="false">
      <c r="B3" s="3" t="n">
        <v>0</v>
      </c>
      <c r="C3" s="2" t="n">
        <v>0.99703</v>
      </c>
      <c r="D3" s="2" t="n">
        <v>0.0012814</v>
      </c>
      <c r="E3" s="2" t="n">
        <v>0</v>
      </c>
      <c r="F3" s="2" t="n">
        <v>0</v>
      </c>
      <c r="G3" s="2" t="n">
        <f aca="false">1-C3-D3</f>
        <v>0.00168860000000003</v>
      </c>
      <c r="H3" s="0" t="n">
        <f aca="false">SUM(C3:G3)</f>
        <v>1</v>
      </c>
    </row>
    <row r="4" customFormat="false" ht="15.75" hidden="false" customHeight="false" outlineLevel="0" collapsed="false">
      <c r="B4" s="3" t="n">
        <v>1</v>
      </c>
      <c r="C4" s="2" t="n">
        <v>0</v>
      </c>
      <c r="D4" s="2" t="n">
        <v>0.86317</v>
      </c>
      <c r="E4" s="2" t="n">
        <v>0.13514</v>
      </c>
      <c r="F4" s="2" t="n">
        <v>0</v>
      </c>
      <c r="G4" s="2" t="n">
        <f aca="false">1-D4-E4</f>
        <v>0.00169</v>
      </c>
      <c r="H4" s="0" t="n">
        <f aca="false">SUM(C4:G4)</f>
        <v>1</v>
      </c>
    </row>
    <row r="5" customFormat="false" ht="15.75" hidden="false" customHeight="false" outlineLevel="0" collapsed="false">
      <c r="B5" s="3" t="n">
        <v>2</v>
      </c>
      <c r="C5" s="2" t="n">
        <v>0</v>
      </c>
      <c r="D5" s="2" t="n">
        <v>0</v>
      </c>
      <c r="E5" s="2" t="n">
        <v>0.85732</v>
      </c>
      <c r="F5" s="2" t="n">
        <v>0.14099</v>
      </c>
      <c r="G5" s="2" t="n">
        <f aca="false">1-E5-F5</f>
        <v>0.00169000000000002</v>
      </c>
      <c r="H5" s="0" t="n">
        <f aca="false">SUM(C5:G5)</f>
        <v>1</v>
      </c>
    </row>
    <row r="6" customFormat="false" ht="15.75" hidden="false" customHeight="false" outlineLevel="0" collapsed="false">
      <c r="B6" s="3" t="n">
        <v>3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0" t="n">
        <f aca="false">SUM(C6:G6)</f>
        <v>1</v>
      </c>
    </row>
    <row r="7" customFormat="false" ht="15.75" hidden="false" customHeight="false" outlineLevel="0" collapsed="false">
      <c r="B7" s="3" t="n">
        <v>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</v>
      </c>
      <c r="H7" s="0" t="n">
        <f aca="false">SUM(C7:G7)</f>
        <v>1</v>
      </c>
    </row>
    <row r="10" customFormat="false" ht="33.75" hidden="false" customHeight="true" outlineLevel="0" collapsed="false">
      <c r="C10" s="1" t="s">
        <v>1</v>
      </c>
      <c r="D10" s="1"/>
      <c r="E10" s="1"/>
      <c r="F10" s="1"/>
      <c r="G10" s="1"/>
    </row>
    <row r="11" customFormat="false" ht="15.75" hidden="false" customHeight="false" outlineLevel="0" collapsed="false">
      <c r="B11" s="2"/>
      <c r="C11" s="3" t="n">
        <v>0</v>
      </c>
      <c r="D11" s="3" t="n">
        <v>1</v>
      </c>
      <c r="E11" s="3" t="n">
        <v>2</v>
      </c>
      <c r="F11" s="3" t="n">
        <v>3</v>
      </c>
      <c r="G11" s="3" t="n">
        <v>4</v>
      </c>
    </row>
    <row r="12" customFormat="false" ht="15.75" hidden="false" customHeight="false" outlineLevel="0" collapsed="false">
      <c r="B12" s="3" t="n">
        <v>0</v>
      </c>
      <c r="C12" s="2" t="n">
        <f aca="false">C3</f>
        <v>0.99703</v>
      </c>
      <c r="D12" s="2" t="n">
        <f aca="false">D3</f>
        <v>0.0012814</v>
      </c>
      <c r="E12" s="2" t="n">
        <v>0</v>
      </c>
      <c r="F12" s="2" t="n">
        <v>0</v>
      </c>
      <c r="G12" s="2" t="n">
        <f aca="false">G3</f>
        <v>0.00168860000000003</v>
      </c>
      <c r="H12" s="4" t="n">
        <f aca="false">SUM(C12:G12)</f>
        <v>1</v>
      </c>
    </row>
    <row r="13" customFormat="false" ht="15.75" hidden="false" customHeight="false" outlineLevel="0" collapsed="false">
      <c r="B13" s="3" t="n">
        <v>1</v>
      </c>
      <c r="C13" s="2" t="n">
        <f aca="false">(1-C19)*C4</f>
        <v>0</v>
      </c>
      <c r="D13" s="2" t="n">
        <f aca="false">(1-C19)*D4</f>
        <v>0.1255998667</v>
      </c>
      <c r="E13" s="2" t="n">
        <f aca="false">(1-C19)*E4</f>
        <v>0.0196642214</v>
      </c>
      <c r="F13" s="2" t="n">
        <f aca="false">C19*F18</f>
        <v>0.1813911372</v>
      </c>
      <c r="G13" s="2" t="n">
        <f aca="false">C19*(1-F18)+(1-C19)*G4</f>
        <v>0.6733447747</v>
      </c>
      <c r="H13" s="4" t="n">
        <f aca="false">SUM(C13:G13)</f>
        <v>1</v>
      </c>
    </row>
    <row r="14" customFormat="false" ht="15.75" hidden="false" customHeight="false" outlineLevel="0" collapsed="false">
      <c r="B14" s="3" t="n">
        <v>2</v>
      </c>
      <c r="C14" s="2" t="n">
        <v>0</v>
      </c>
      <c r="D14" s="2" t="n">
        <v>0</v>
      </c>
      <c r="E14" s="2" t="n">
        <f aca="false">(1-C20)*E5</f>
        <v>0.0580920032</v>
      </c>
      <c r="F14" s="2" t="n">
        <f aca="false">(1-C20)*F5+ C20*F19</f>
        <v>0.5138020984</v>
      </c>
      <c r="G14" s="2" t="n">
        <f aca="false">C20*(1-F19)+(1-C20)*G5</f>
        <v>0.4281058984</v>
      </c>
      <c r="H14" s="4" t="n">
        <f aca="false">SUM(C14:G14)</f>
        <v>1</v>
      </c>
    </row>
    <row r="15" customFormat="false" ht="15.75" hidden="false" customHeight="false" outlineLevel="0" collapsed="false">
      <c r="B15" s="3" t="n">
        <v>3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4" t="n">
        <f aca="false">SUM(C15:G15)</f>
        <v>1</v>
      </c>
    </row>
    <row r="16" customFormat="false" ht="15.75" hidden="false" customHeight="false" outlineLevel="0" collapsed="false">
      <c r="B16" s="3" t="n">
        <v>4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</v>
      </c>
      <c r="H16" s="4" t="n">
        <f aca="false">SUM(C16:G16)</f>
        <v>1</v>
      </c>
    </row>
    <row r="18" customFormat="false" ht="15.75" hidden="false" customHeight="false" outlineLevel="0" collapsed="false">
      <c r="B18" s="5" t="s">
        <v>2</v>
      </c>
      <c r="C18" s="6" t="n">
        <v>0.073921</v>
      </c>
      <c r="E18" s="7" t="s">
        <v>3</v>
      </c>
      <c r="F18" s="0" t="n">
        <v>0.21228</v>
      </c>
    </row>
    <row r="19" customFormat="false" ht="15.75" hidden="false" customHeight="false" outlineLevel="0" collapsed="false">
      <c r="B19" s="5" t="s">
        <v>4</v>
      </c>
      <c r="C19" s="6" t="n">
        <v>0.85449</v>
      </c>
      <c r="E19" s="7" t="s">
        <v>5</v>
      </c>
      <c r="F19" s="0" t="n">
        <v>0.5409</v>
      </c>
    </row>
    <row r="20" customFormat="false" ht="15.75" hidden="false" customHeight="false" outlineLevel="0" collapsed="false">
      <c r="B20" s="5" t="s">
        <v>6</v>
      </c>
      <c r="C20" s="6" t="n">
        <v>0.93224</v>
      </c>
    </row>
    <row r="22" customFormat="false" ht="15.75" hidden="false" customHeight="false" outlineLevel="0" collapsed="false">
      <c r="B22" s="0" t="s">
        <v>7</v>
      </c>
    </row>
  </sheetData>
  <mergeCells count="2">
    <mergeCell ref="C1:G1"/>
    <mergeCell ref="C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40625" defaultRowHeight="15.75" zeroHeight="false" outlineLevelRow="0" outlineLevelCol="0"/>
  <sheetData>
    <row r="1" customFormat="false" ht="46.5" hidden="false" customHeight="true" outlineLevel="0" collapsed="false">
      <c r="C1" s="1" t="s">
        <v>8</v>
      </c>
      <c r="D1" s="1"/>
      <c r="E1" s="1"/>
      <c r="F1" s="1"/>
      <c r="G1" s="1"/>
    </row>
    <row r="2" customFormat="false" ht="15.75" hidden="false" customHeight="false" outlineLevel="0" collapsed="false">
      <c r="B2" s="2"/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</row>
    <row r="3" customFormat="false" ht="15.75" hidden="false" customHeight="false" outlineLevel="0" collapsed="false">
      <c r="B3" s="3" t="n">
        <v>0</v>
      </c>
      <c r="C3" s="2" t="n">
        <v>0.99563</v>
      </c>
      <c r="D3" s="2" t="n">
        <v>0.0016822</v>
      </c>
      <c r="E3" s="2" t="n">
        <v>0</v>
      </c>
      <c r="F3" s="2" t="n">
        <v>0</v>
      </c>
      <c r="G3" s="2" t="n">
        <f aca="false">1-C3-D3</f>
        <v>0.00268779999999999</v>
      </c>
      <c r="H3" s="0" t="n">
        <f aca="false">SUM(C3:G3)</f>
        <v>1</v>
      </c>
    </row>
    <row r="4" customFormat="false" ht="15.75" hidden="false" customHeight="false" outlineLevel="0" collapsed="false">
      <c r="B4" s="3" t="n">
        <v>1</v>
      </c>
      <c r="C4" s="2" t="n">
        <v>0</v>
      </c>
      <c r="D4" s="2" t="n">
        <v>0.86218</v>
      </c>
      <c r="E4" s="2" t="n">
        <v>0.13514</v>
      </c>
      <c r="F4" s="2" t="n">
        <v>0</v>
      </c>
      <c r="G4" s="2" t="n">
        <f aca="false">1-D4-E4</f>
        <v>0.00268000000000004</v>
      </c>
      <c r="H4" s="0" t="n">
        <f aca="false">SUM(C4:G4)</f>
        <v>1</v>
      </c>
    </row>
    <row r="5" customFormat="false" ht="15.75" hidden="false" customHeight="false" outlineLevel="0" collapsed="false">
      <c r="B5" s="3" t="n">
        <v>2</v>
      </c>
      <c r="C5" s="2" t="n">
        <v>0</v>
      </c>
      <c r="D5" s="2" t="n">
        <v>0</v>
      </c>
      <c r="E5" s="2" t="n">
        <v>0.85732</v>
      </c>
      <c r="F5" s="2" t="n">
        <v>0.13999</v>
      </c>
      <c r="G5" s="2" t="n">
        <f aca="false">1-E5-F5</f>
        <v>0.00269000000000003</v>
      </c>
      <c r="H5" s="0" t="n">
        <f aca="false">SUM(C5:G5)</f>
        <v>1</v>
      </c>
    </row>
    <row r="6" customFormat="false" ht="15.75" hidden="false" customHeight="false" outlineLevel="0" collapsed="false">
      <c r="B6" s="3" t="n">
        <v>3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0" t="n">
        <f aca="false">SUM(C6:G6)</f>
        <v>1</v>
      </c>
    </row>
    <row r="7" customFormat="false" ht="15.75" hidden="false" customHeight="false" outlineLevel="0" collapsed="false">
      <c r="B7" s="3" t="n">
        <v>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</v>
      </c>
      <c r="H7" s="0" t="n">
        <f aca="false">SUM(C7:G7)</f>
        <v>1</v>
      </c>
    </row>
    <row r="10" customFormat="false" ht="33.75" hidden="false" customHeight="true" outlineLevel="0" collapsed="false">
      <c r="C10" s="1" t="s">
        <v>9</v>
      </c>
      <c r="D10" s="1"/>
      <c r="E10" s="1"/>
      <c r="F10" s="1"/>
      <c r="G10" s="1"/>
    </row>
    <row r="11" customFormat="false" ht="15.75" hidden="false" customHeight="false" outlineLevel="0" collapsed="false">
      <c r="B11" s="2"/>
      <c r="C11" s="3" t="n">
        <v>0</v>
      </c>
      <c r="D11" s="3" t="n">
        <v>1</v>
      </c>
      <c r="E11" s="3" t="n">
        <v>2</v>
      </c>
      <c r="F11" s="3" t="n">
        <v>3</v>
      </c>
      <c r="G11" s="3" t="n">
        <v>4</v>
      </c>
    </row>
    <row r="12" customFormat="false" ht="15.75" hidden="false" customHeight="false" outlineLevel="0" collapsed="false">
      <c r="B12" s="3" t="n">
        <v>0</v>
      </c>
      <c r="C12" s="2" t="n">
        <f aca="false">C3</f>
        <v>0.99563</v>
      </c>
      <c r="D12" s="2" t="n">
        <f aca="false">D3</f>
        <v>0.0016822</v>
      </c>
      <c r="E12" s="2" t="n">
        <v>0</v>
      </c>
      <c r="F12" s="2" t="n">
        <v>0</v>
      </c>
      <c r="G12" s="2" t="n">
        <f aca="false">G3</f>
        <v>0.00268779999999999</v>
      </c>
      <c r="H12" s="4" t="n">
        <f aca="false">SUM(C12:G12)</f>
        <v>1</v>
      </c>
    </row>
    <row r="13" customFormat="false" ht="15.75" hidden="false" customHeight="false" outlineLevel="0" collapsed="false">
      <c r="B13" s="3" t="n">
        <v>1</v>
      </c>
      <c r="C13" s="2" t="n">
        <f aca="false">(1-C19)*C4</f>
        <v>0</v>
      </c>
      <c r="D13" s="2" t="n">
        <f aca="false">(1-C19)*D4</f>
        <v>0.1254558118</v>
      </c>
      <c r="E13" s="2" t="n">
        <f aca="false">(1-C19)*E4</f>
        <v>0.0196642214</v>
      </c>
      <c r="F13" s="2" t="n">
        <f aca="false">C19*F18</f>
        <v>0.1813911372</v>
      </c>
      <c r="G13" s="2" t="n">
        <f aca="false">C19*(1-F18)+(1-C19)*G4</f>
        <v>0.6734888296</v>
      </c>
      <c r="H13" s="4" t="n">
        <f aca="false">SUM(C13:G13)</f>
        <v>1</v>
      </c>
    </row>
    <row r="14" customFormat="false" ht="15.75" hidden="false" customHeight="false" outlineLevel="0" collapsed="false">
      <c r="B14" s="3" t="n">
        <v>2</v>
      </c>
      <c r="C14" s="2" t="n">
        <v>0</v>
      </c>
      <c r="D14" s="2" t="n">
        <v>0</v>
      </c>
      <c r="E14" s="2" t="n">
        <f aca="false">(1-C20)*E5</f>
        <v>0.0580920032</v>
      </c>
      <c r="F14" s="2" t="n">
        <f aca="false">(1-C20)*F5+ C20*F19</f>
        <v>0.5137343384</v>
      </c>
      <c r="G14" s="2" t="n">
        <f aca="false">C20*(1-F19)+(1-C20)*G5</f>
        <v>0.4281736584</v>
      </c>
      <c r="H14" s="4" t="n">
        <f aca="false">SUM(C14:G14)</f>
        <v>1</v>
      </c>
    </row>
    <row r="15" customFormat="false" ht="15.75" hidden="false" customHeight="false" outlineLevel="0" collapsed="false">
      <c r="B15" s="3" t="n">
        <v>3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4" t="n">
        <f aca="false">SUM(C15:G15)</f>
        <v>1</v>
      </c>
    </row>
    <row r="16" customFormat="false" ht="15.75" hidden="false" customHeight="false" outlineLevel="0" collapsed="false">
      <c r="B16" s="3" t="n">
        <v>4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</v>
      </c>
      <c r="H16" s="4" t="n">
        <f aca="false">SUM(C16:G16)</f>
        <v>1</v>
      </c>
    </row>
    <row r="18" customFormat="false" ht="15.75" hidden="false" customHeight="false" outlineLevel="0" collapsed="false">
      <c r="B18" s="5" t="s">
        <v>2</v>
      </c>
      <c r="C18" s="6" t="n">
        <v>0.073921</v>
      </c>
      <c r="E18" s="7" t="s">
        <v>3</v>
      </c>
      <c r="F18" s="0" t="n">
        <v>0.21228</v>
      </c>
    </row>
    <row r="19" customFormat="false" ht="15.75" hidden="false" customHeight="false" outlineLevel="0" collapsed="false">
      <c r="B19" s="5" t="s">
        <v>4</v>
      </c>
      <c r="C19" s="6" t="n">
        <v>0.85449</v>
      </c>
      <c r="E19" s="7" t="s">
        <v>5</v>
      </c>
      <c r="F19" s="0" t="n">
        <v>0.5409</v>
      </c>
    </row>
    <row r="20" customFormat="false" ht="15.75" hidden="false" customHeight="false" outlineLevel="0" collapsed="false">
      <c r="B20" s="5" t="s">
        <v>6</v>
      </c>
      <c r="C20" s="6" t="n">
        <v>0.93224</v>
      </c>
    </row>
    <row r="22" customFormat="false" ht="15.75" hidden="false" customHeight="false" outlineLevel="0" collapsed="false">
      <c r="B22" s="0" t="s">
        <v>7</v>
      </c>
    </row>
  </sheetData>
  <mergeCells count="2">
    <mergeCell ref="C1:G1"/>
    <mergeCell ref="C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40625" defaultRowHeight="15.75" zeroHeight="false" outlineLevelRow="0" outlineLevelCol="0"/>
  <sheetData>
    <row r="1" customFormat="false" ht="46.5" hidden="false" customHeight="true" outlineLevel="0" collapsed="false">
      <c r="C1" s="1" t="s">
        <v>10</v>
      </c>
      <c r="D1" s="1"/>
      <c r="E1" s="1"/>
      <c r="F1" s="1"/>
      <c r="G1" s="1"/>
    </row>
    <row r="2" customFormat="false" ht="15.75" hidden="false" customHeight="false" outlineLevel="0" collapsed="false">
      <c r="B2" s="2"/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</row>
    <row r="3" customFormat="false" ht="15.75" hidden="false" customHeight="false" outlineLevel="0" collapsed="false">
      <c r="B3" s="3" t="n">
        <v>0</v>
      </c>
      <c r="C3" s="2" t="n">
        <v>0.99371</v>
      </c>
      <c r="D3" s="2" t="n">
        <v>0.0019797</v>
      </c>
      <c r="E3" s="2" t="n">
        <v>0</v>
      </c>
      <c r="F3" s="2" t="n">
        <v>0</v>
      </c>
      <c r="G3" s="2" t="n">
        <f aca="false">1-C3-D3</f>
        <v>0.00431030000000002</v>
      </c>
      <c r="H3" s="0" t="n">
        <f aca="false">SUM(C3:G3)</f>
        <v>1</v>
      </c>
    </row>
    <row r="4" customFormat="false" ht="15.75" hidden="false" customHeight="false" outlineLevel="0" collapsed="false">
      <c r="B4" s="3" t="n">
        <v>1</v>
      </c>
      <c r="C4" s="2" t="n">
        <v>0</v>
      </c>
      <c r="D4" s="2" t="n">
        <v>0.87664</v>
      </c>
      <c r="E4" s="2" t="n">
        <v>0.11905</v>
      </c>
      <c r="F4" s="2" t="n">
        <v>0</v>
      </c>
      <c r="G4" s="2" t="n">
        <f aca="false">1-D4-E4</f>
        <v>0.00431000000000002</v>
      </c>
      <c r="H4" s="0" t="n">
        <f aca="false">SUM(C4:G4)</f>
        <v>1</v>
      </c>
    </row>
    <row r="5" customFormat="false" ht="15.75" hidden="false" customHeight="false" outlineLevel="0" collapsed="false">
      <c r="B5" s="3" t="n">
        <v>2</v>
      </c>
      <c r="C5" s="2" t="n">
        <v>0</v>
      </c>
      <c r="D5" s="2" t="n">
        <v>0</v>
      </c>
      <c r="E5" s="2" t="n">
        <v>0.8909</v>
      </c>
      <c r="F5" s="2" t="n">
        <v>0.10479</v>
      </c>
      <c r="G5" s="2" t="n">
        <f aca="false">1-E5-F5</f>
        <v>0.00430999999999998</v>
      </c>
      <c r="H5" s="0" t="n">
        <f aca="false">SUM(C5:G5)</f>
        <v>1</v>
      </c>
    </row>
    <row r="6" customFormat="false" ht="15.75" hidden="false" customHeight="false" outlineLevel="0" collapsed="false">
      <c r="B6" s="3" t="n">
        <v>3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0" t="n">
        <f aca="false">SUM(C6:G6)</f>
        <v>1</v>
      </c>
    </row>
    <row r="7" customFormat="false" ht="15.75" hidden="false" customHeight="false" outlineLevel="0" collapsed="false">
      <c r="B7" s="3" t="n">
        <v>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</v>
      </c>
      <c r="H7" s="0" t="n">
        <f aca="false">SUM(C7:G7)</f>
        <v>1</v>
      </c>
    </row>
    <row r="10" customFormat="false" ht="33.75" hidden="false" customHeight="true" outlineLevel="0" collapsed="false">
      <c r="C10" s="1" t="s">
        <v>11</v>
      </c>
      <c r="D10" s="1"/>
      <c r="E10" s="1"/>
      <c r="F10" s="1"/>
      <c r="G10" s="1"/>
    </row>
    <row r="11" customFormat="false" ht="15.75" hidden="false" customHeight="false" outlineLevel="0" collapsed="false">
      <c r="B11" s="2"/>
      <c r="C11" s="3" t="n">
        <v>0</v>
      </c>
      <c r="D11" s="3" t="n">
        <v>1</v>
      </c>
      <c r="E11" s="3" t="n">
        <v>2</v>
      </c>
      <c r="F11" s="3" t="n">
        <v>3</v>
      </c>
      <c r="G11" s="3" t="n">
        <v>4</v>
      </c>
    </row>
    <row r="12" customFormat="false" ht="15.75" hidden="false" customHeight="false" outlineLevel="0" collapsed="false">
      <c r="B12" s="3" t="n">
        <v>0</v>
      </c>
      <c r="C12" s="2" t="n">
        <f aca="false">C3</f>
        <v>0.99371</v>
      </c>
      <c r="D12" s="2" t="n">
        <f aca="false">D3</f>
        <v>0.0019797</v>
      </c>
      <c r="E12" s="2" t="n">
        <v>0</v>
      </c>
      <c r="F12" s="2" t="n">
        <v>0</v>
      </c>
      <c r="G12" s="2" t="n">
        <f aca="false">G3</f>
        <v>0.00431030000000002</v>
      </c>
      <c r="H12" s="4" t="n">
        <f aca="false">SUM(C12:G12)</f>
        <v>1</v>
      </c>
    </row>
    <row r="13" customFormat="false" ht="15.75" hidden="false" customHeight="false" outlineLevel="0" collapsed="false">
      <c r="B13" s="3" t="n">
        <v>1</v>
      </c>
      <c r="C13" s="2" t="n">
        <f aca="false">(1-C19)*C4</f>
        <v>0</v>
      </c>
      <c r="D13" s="2" t="n">
        <f aca="false">(1-C19)*D4</f>
        <v>0.1275598864</v>
      </c>
      <c r="E13" s="2" t="n">
        <f aca="false">(1-C19)*E4</f>
        <v>0.0173229655</v>
      </c>
      <c r="F13" s="2" t="n">
        <f aca="false">C19*F18</f>
        <v>0.1543465287</v>
      </c>
      <c r="G13" s="2" t="n">
        <f aca="false">C19*(1-F18)+(1-C19)*G4</f>
        <v>0.7007706194</v>
      </c>
      <c r="H13" s="4" t="n">
        <f aca="false">SUM(C13:G13)</f>
        <v>1</v>
      </c>
    </row>
    <row r="14" customFormat="false" ht="15.75" hidden="false" customHeight="false" outlineLevel="0" collapsed="false">
      <c r="B14" s="3" t="n">
        <v>2</v>
      </c>
      <c r="C14" s="2" t="n">
        <v>0</v>
      </c>
      <c r="D14" s="2" t="n">
        <v>0</v>
      </c>
      <c r="E14" s="2" t="n">
        <f aca="false">(1-C20)*E5</f>
        <v>0.060367384</v>
      </c>
      <c r="F14" s="2" t="n">
        <f aca="false">(1-C20)*F5+ C20*F19</f>
        <v>0.4753367552</v>
      </c>
      <c r="G14" s="2" t="n">
        <f aca="false">C20*(1-F19)+(1-C20)*G5</f>
        <v>0.4642958608</v>
      </c>
      <c r="H14" s="4" t="n">
        <f aca="false">SUM(C14:G14)</f>
        <v>1</v>
      </c>
    </row>
    <row r="15" customFormat="false" ht="15.75" hidden="false" customHeight="false" outlineLevel="0" collapsed="false">
      <c r="B15" s="3" t="n">
        <v>3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4" t="n">
        <f aca="false">SUM(C15:G15)</f>
        <v>1</v>
      </c>
    </row>
    <row r="16" customFormat="false" ht="15.75" hidden="false" customHeight="false" outlineLevel="0" collapsed="false">
      <c r="B16" s="3" t="n">
        <v>4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</v>
      </c>
      <c r="H16" s="4" t="n">
        <f aca="false">SUM(C16:G16)</f>
        <v>1</v>
      </c>
    </row>
    <row r="18" customFormat="false" ht="15.75" hidden="false" customHeight="false" outlineLevel="0" collapsed="false">
      <c r="B18" s="5" t="s">
        <v>2</v>
      </c>
      <c r="C18" s="6" t="n">
        <v>0.052669</v>
      </c>
      <c r="E18" s="7" t="s">
        <v>3</v>
      </c>
      <c r="F18" s="0" t="n">
        <v>0.18063</v>
      </c>
    </row>
    <row r="19" customFormat="false" ht="15.75" hidden="false" customHeight="false" outlineLevel="0" collapsed="false">
      <c r="B19" s="5" t="s">
        <v>4</v>
      </c>
      <c r="C19" s="6" t="n">
        <v>0.85449</v>
      </c>
      <c r="E19" s="7" t="s">
        <v>5</v>
      </c>
      <c r="F19" s="0" t="n">
        <v>0.50227</v>
      </c>
    </row>
    <row r="20" customFormat="false" ht="15.75" hidden="false" customHeight="false" outlineLevel="0" collapsed="false">
      <c r="B20" s="5" t="s">
        <v>6</v>
      </c>
      <c r="C20" s="6" t="n">
        <v>0.93224</v>
      </c>
    </row>
    <row r="22" customFormat="false" ht="15.75" hidden="false" customHeight="false" outlineLevel="0" collapsed="false">
      <c r="B22" s="0" t="s">
        <v>7</v>
      </c>
    </row>
  </sheetData>
  <mergeCells count="2">
    <mergeCell ref="C1:G1"/>
    <mergeCell ref="C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640625" defaultRowHeight="15.75" zeroHeight="false" outlineLevelRow="0" outlineLevelCol="0"/>
  <sheetData>
    <row r="1" customFormat="false" ht="46.5" hidden="false" customHeight="true" outlineLevel="0" collapsed="false">
      <c r="C1" s="1" t="s">
        <v>12</v>
      </c>
      <c r="D1" s="1"/>
      <c r="E1" s="1"/>
      <c r="F1" s="1"/>
      <c r="G1" s="1"/>
    </row>
    <row r="2" customFormat="false" ht="15.75" hidden="false" customHeight="false" outlineLevel="0" collapsed="false">
      <c r="B2" s="2"/>
      <c r="C2" s="3" t="n">
        <v>0</v>
      </c>
      <c r="D2" s="3" t="n">
        <v>1</v>
      </c>
      <c r="E2" s="3" t="n">
        <v>2</v>
      </c>
      <c r="F2" s="3" t="n">
        <v>3</v>
      </c>
      <c r="G2" s="3" t="n">
        <v>4</v>
      </c>
    </row>
    <row r="3" customFormat="false" ht="15.75" hidden="false" customHeight="false" outlineLevel="0" collapsed="false">
      <c r="B3" s="3" t="n">
        <v>0</v>
      </c>
      <c r="C3" s="2" t="n">
        <v>0.99086</v>
      </c>
      <c r="D3" s="2" t="n">
        <v>0.0022136</v>
      </c>
      <c r="E3" s="2" t="n">
        <v>0</v>
      </c>
      <c r="F3" s="2" t="n">
        <v>0</v>
      </c>
      <c r="G3" s="2" t="n">
        <f aca="false">1-C3-D3</f>
        <v>0.00692640000000004</v>
      </c>
      <c r="H3" s="0" t="n">
        <f aca="false">SUM(C3:G3)</f>
        <v>1</v>
      </c>
    </row>
    <row r="4" customFormat="false" ht="15.75" hidden="false" customHeight="false" outlineLevel="0" collapsed="false">
      <c r="B4" s="3" t="n">
        <v>1</v>
      </c>
      <c r="C4" s="2" t="n">
        <v>0</v>
      </c>
      <c r="D4" s="2" t="n">
        <v>0.87402</v>
      </c>
      <c r="E4" s="2" t="n">
        <v>0.11905</v>
      </c>
      <c r="F4" s="2" t="n">
        <v>0</v>
      </c>
      <c r="G4" s="2" t="n">
        <f aca="false">1-D4-E4</f>
        <v>0.00692999999999998</v>
      </c>
      <c r="H4" s="0" t="n">
        <f aca="false">SUM(C4:G4)</f>
        <v>1</v>
      </c>
    </row>
    <row r="5" customFormat="false" ht="15.75" hidden="false" customHeight="false" outlineLevel="0" collapsed="false">
      <c r="B5" s="3" t="n">
        <v>2</v>
      </c>
      <c r="C5" s="2" t="n">
        <v>0</v>
      </c>
      <c r="D5" s="2" t="n">
        <v>0</v>
      </c>
      <c r="E5" s="2" t="n">
        <v>0.8909</v>
      </c>
      <c r="F5" s="2" t="n">
        <v>0.10217</v>
      </c>
      <c r="G5" s="2" t="n">
        <f aca="false">1-E5-F5</f>
        <v>0.00692999999999998</v>
      </c>
      <c r="H5" s="0" t="n">
        <f aca="false">SUM(C5:G5)</f>
        <v>1</v>
      </c>
    </row>
    <row r="6" customFormat="false" ht="15.75" hidden="false" customHeight="false" outlineLevel="0" collapsed="false">
      <c r="B6" s="3" t="n">
        <v>3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0" t="n">
        <f aca="false">SUM(C6:G6)</f>
        <v>1</v>
      </c>
    </row>
    <row r="7" customFormat="false" ht="15.75" hidden="false" customHeight="false" outlineLevel="0" collapsed="false">
      <c r="B7" s="3" t="n">
        <v>4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1</v>
      </c>
      <c r="H7" s="0" t="n">
        <f aca="false">SUM(C7:G7)</f>
        <v>1</v>
      </c>
    </row>
    <row r="10" customFormat="false" ht="33.75" hidden="false" customHeight="true" outlineLevel="0" collapsed="false">
      <c r="C10" s="1" t="s">
        <v>13</v>
      </c>
      <c r="D10" s="1"/>
      <c r="E10" s="1"/>
      <c r="F10" s="1"/>
      <c r="G10" s="1"/>
    </row>
    <row r="11" customFormat="false" ht="15.75" hidden="false" customHeight="false" outlineLevel="0" collapsed="false">
      <c r="B11" s="2"/>
      <c r="C11" s="3" t="n">
        <v>0</v>
      </c>
      <c r="D11" s="3" t="n">
        <v>1</v>
      </c>
      <c r="E11" s="3" t="n">
        <v>2</v>
      </c>
      <c r="F11" s="3" t="n">
        <v>3</v>
      </c>
      <c r="G11" s="3" t="n">
        <v>4</v>
      </c>
    </row>
    <row r="12" customFormat="false" ht="15.75" hidden="false" customHeight="false" outlineLevel="0" collapsed="false">
      <c r="B12" s="3" t="n">
        <v>0</v>
      </c>
      <c r="C12" s="2" t="n">
        <f aca="false">C3</f>
        <v>0.99086</v>
      </c>
      <c r="D12" s="2" t="n">
        <f aca="false">D3</f>
        <v>0.0022136</v>
      </c>
      <c r="E12" s="2" t="n">
        <v>0</v>
      </c>
      <c r="F12" s="2" t="n">
        <v>0</v>
      </c>
      <c r="G12" s="2" t="n">
        <f aca="false">G3</f>
        <v>0.00692640000000004</v>
      </c>
      <c r="H12" s="4" t="n">
        <f aca="false">SUM(C12:G12)</f>
        <v>1</v>
      </c>
    </row>
    <row r="13" customFormat="false" ht="15.75" hidden="false" customHeight="false" outlineLevel="0" collapsed="false">
      <c r="B13" s="3" t="n">
        <v>1</v>
      </c>
      <c r="C13" s="2" t="n">
        <f aca="false">(1-C19)*C4</f>
        <v>0</v>
      </c>
      <c r="D13" s="2" t="n">
        <f aca="false">(1-C19)*D4</f>
        <v>0.1271786502</v>
      </c>
      <c r="E13" s="2" t="n">
        <f aca="false">(1-C19)*E4</f>
        <v>0.0173229655</v>
      </c>
      <c r="F13" s="2" t="n">
        <f aca="false">C19*F18</f>
        <v>0.1543465287</v>
      </c>
      <c r="G13" s="2" t="n">
        <f aca="false">C19*(1-F18)+(1-C19)*G4</f>
        <v>0.7011518556</v>
      </c>
      <c r="H13" s="4" t="n">
        <f aca="false">SUM(C13:G13)</f>
        <v>1</v>
      </c>
    </row>
    <row r="14" customFormat="false" ht="15.75" hidden="false" customHeight="false" outlineLevel="0" collapsed="false">
      <c r="B14" s="3" t="n">
        <v>2</v>
      </c>
      <c r="C14" s="2" t="n">
        <v>0</v>
      </c>
      <c r="D14" s="2" t="n">
        <v>0</v>
      </c>
      <c r="E14" s="2" t="n">
        <f aca="false">(1-C20)*E5</f>
        <v>0.060367384</v>
      </c>
      <c r="F14" s="2" t="n">
        <f aca="false">(1-C20)*F5+ C20*F19</f>
        <v>0.475159224</v>
      </c>
      <c r="G14" s="2" t="n">
        <f aca="false">C20*(1-F19)+(1-C20)*G5</f>
        <v>0.464473392</v>
      </c>
      <c r="H14" s="4" t="n">
        <f aca="false">SUM(C14:G14)</f>
        <v>1</v>
      </c>
    </row>
    <row r="15" customFormat="false" ht="15.75" hidden="false" customHeight="false" outlineLevel="0" collapsed="false">
      <c r="B15" s="3" t="n">
        <v>3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4" t="n">
        <f aca="false">SUM(C15:G15)</f>
        <v>1</v>
      </c>
    </row>
    <row r="16" customFormat="false" ht="15.75" hidden="false" customHeight="false" outlineLevel="0" collapsed="false">
      <c r="B16" s="3" t="n">
        <v>4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1</v>
      </c>
      <c r="H16" s="4" t="n">
        <f aca="false">SUM(C16:G16)</f>
        <v>1</v>
      </c>
    </row>
    <row r="18" customFormat="false" ht="15.75" hidden="false" customHeight="false" outlineLevel="0" collapsed="false">
      <c r="B18" s="5" t="s">
        <v>2</v>
      </c>
      <c r="C18" s="6" t="n">
        <v>0.052669</v>
      </c>
      <c r="E18" s="7" t="s">
        <v>3</v>
      </c>
      <c r="F18" s="0" t="n">
        <v>0.18063</v>
      </c>
    </row>
    <row r="19" customFormat="false" ht="15.75" hidden="false" customHeight="false" outlineLevel="0" collapsed="false">
      <c r="B19" s="5" t="s">
        <v>4</v>
      </c>
      <c r="C19" s="6" t="n">
        <v>0.85449</v>
      </c>
      <c r="E19" s="7" t="s">
        <v>5</v>
      </c>
      <c r="F19" s="0" t="n">
        <v>0.50227</v>
      </c>
    </row>
    <row r="20" customFormat="false" ht="15.75" hidden="false" customHeight="false" outlineLevel="0" collapsed="false">
      <c r="B20" s="5" t="s">
        <v>6</v>
      </c>
      <c r="C20" s="6" t="n">
        <v>0.93224</v>
      </c>
    </row>
    <row r="22" customFormat="false" ht="15.75" hidden="false" customHeight="false" outlineLevel="0" collapsed="false">
      <c r="B22" s="0" t="s">
        <v>7</v>
      </c>
    </row>
  </sheetData>
  <mergeCells count="2">
    <mergeCell ref="C1:G1"/>
    <mergeCell ref="C10:G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2025-10-16T18:41:26Z</dcterms:created>
  <dc:creator>Hari Balasubramanian</dc:creator>
  <dc:description/>
  <dc:language>en-US</dc:language>
  <cp:lastModifiedBy>Levent Unal</cp:lastModifiedBy>
  <dcterms:modified xsi:type="dcterms:W3CDTF">2026-10-14T23:33:14Z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